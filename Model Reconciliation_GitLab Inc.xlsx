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Glossary" sheetId="2" r:id="rId5"/>
    <sheet state="visible" name="Reconcile_Inputs" sheetId="3" r:id="rId6"/>
    <sheet state="visible" name="Reconcile_Checks" sheetId="4" r:id="rId7"/>
    <sheet state="visible" name="Issues_Log" sheetId="5" r:id="rId8"/>
    <sheet state="visible" name="_lists&lt;Do Not Edit&gt;" sheetId="6" r:id="rId9"/>
  </sheets>
  <definedNames>
    <definedName name="CauseList">'_lists&lt;Do Not Edit&gt;'!$A$1:$A$10</definedName>
  </definedNames>
  <calcPr/>
  <extLst>
    <ext uri="GoogleSheetsCustomDataVersion2">
      <go:sheetsCustomData xmlns:go="http://customooxmlschemas.google.com/" r:id="rId10" roundtripDataChecksum="pPiiSTmsXgNTiMNaCmdEQqKCpTgFIQit3QdZAklnn3U="/>
    </ext>
  </extLst>
</workbook>
</file>

<file path=xl/sharedStrings.xml><?xml version="1.0" encoding="utf-8"?>
<sst xmlns="http://schemas.openxmlformats.org/spreadsheetml/2006/main" count="277" uniqueCount="205">
  <si>
    <t>Reconciliation Template — How to Use</t>
  </si>
  <si>
    <t>Goal:</t>
  </si>
  <si>
    <t>Verify that your Income Statement, Balance Sheet, and Cash Flow Statement are consistent and tie out.</t>
  </si>
  <si>
    <t>What to do:</t>
  </si>
  <si>
    <t>1) Open your modeling workbook. 
2) In each Final tab (IS_Final, BS_Final, CF_Final), copy the requested figures for the same three fiscal years into the yellow input cells on the Reconcile_Inputs sheet. 
3) Review the PASS/CHECK results on Reconcile_Checks. 
4) If anything is flagged, log it on Issues_Log and fix at the source.</t>
  </si>
  <si>
    <t>Color legend:</t>
  </si>
  <si>
    <t>Yellow = paste your inputs
Gray = calculated
Green/Red = PASS/CHECK results</t>
  </si>
  <si>
    <t>Tip</t>
  </si>
  <si>
    <t>Work oldest to latest year (left to right). 
Confirm units ($ in millions vs thousands) first.</t>
  </si>
  <si>
    <t>Glossary – Reconciliation Terms</t>
  </si>
  <si>
    <t>Term in Template</t>
  </si>
  <si>
    <t>Full Form / Meaning</t>
  </si>
  <si>
    <t>Notes</t>
  </si>
  <si>
    <t>BEGIN</t>
  </si>
  <si>
    <t>Beginning of Period</t>
  </si>
  <si>
    <t>Value at the start of the reporting period (e.g., Dec 31, 2022 if reporting 2023 figures).</t>
  </si>
  <si>
    <t>END</t>
  </si>
  <si>
    <t>End of Period</t>
  </si>
  <si>
    <t>Value at the end of the reporting period (e.g., Dec 31, 2023 if reporting 2023 figures).</t>
  </si>
  <si>
    <t>IS</t>
  </si>
  <si>
    <t>Income Statement</t>
  </si>
  <si>
    <t>The company’s performance report showing revenue, expenses, and profit for a period.</t>
  </si>
  <si>
    <t>CF</t>
  </si>
  <si>
    <t>Cash Flow Statement</t>
  </si>
  <si>
    <t>The statement showing how cash moved in and out of the business during a period.</t>
  </si>
  <si>
    <t>BS</t>
  </si>
  <si>
    <t>Balance Sheet</t>
  </si>
  <si>
    <t>A snapshot of the company’s assets, liabilities, and equity at a specific date.</t>
  </si>
  <si>
    <t>Cash Tie-Out</t>
  </si>
  <si>
    <t>BS: Cash &amp; Cash Equivalents — END</t>
  </si>
  <si>
    <t>Cash on hand and highly liquid investments at period end</t>
  </si>
  <si>
    <t>Compare BS and CF figures to ensure tie-out.</t>
  </si>
  <si>
    <t>CF: Cash &amp; Cash Equivalents — END</t>
  </si>
  <si>
    <t>Same as above, from CF statement</t>
  </si>
  <si>
    <t>Should match BS cash exactly.</t>
  </si>
  <si>
    <t>Net Income Tie-Out</t>
  </si>
  <si>
    <t>IS: Net Income</t>
  </si>
  <si>
    <t>Profit after all expenses, interest, and taxes</t>
  </si>
  <si>
    <t>From the IS; also called “Net earnings” or “Net profit.”</t>
  </si>
  <si>
    <t>CF (OCF): Net Income (as reported)</t>
  </si>
  <si>
    <t>Net income as reported in the Operating section of the CF statement</t>
  </si>
  <si>
    <t>Should match IS net income exactly.</t>
  </si>
  <si>
    <t>Working Capital Bridge</t>
  </si>
  <si>
    <t>Accounts Receivable — END / BEGIN</t>
  </si>
  <si>
    <t>Amount owed by customers for goods/services delivered</t>
  </si>
  <si>
    <t>Found in BS under Current Assets.</t>
  </si>
  <si>
    <t>Accounts Payable — END / BEGIN</t>
  </si>
  <si>
    <t>Amount owed to suppliers/vendors for goods/services received</t>
  </si>
  <si>
    <t>Found in BS under Current Liabilities.</t>
  </si>
  <si>
    <t>Deferred Revenue — END / BEGIN</t>
  </si>
  <si>
    <t>Payments received for goods/services not yet delivered</t>
  </si>
  <si>
    <t>A liability; decreases as services are delivered.</t>
  </si>
  <si>
    <t>Other Current Assets — END / BEGIN</t>
  </si>
  <si>
    <t>All other short-term assets not listed separately</t>
  </si>
  <si>
    <t>Often includes prepaid expenses, short-term deposits.</t>
  </si>
  <si>
    <t>Other Current Liabilities — END / BEGIN</t>
  </si>
  <si>
    <t>All other short-term liabilities not listed separately</t>
  </si>
  <si>
    <t>Often includes accrued expenses and tax payables.</t>
  </si>
  <si>
    <t>Inventory — END / BEGIN (if any)</t>
  </si>
  <si>
    <t>Goods held for sale</t>
  </si>
  <si>
    <t>Rare for pure software companies.</t>
  </si>
  <si>
    <t>CF (OCF): Change in operating assets &amp; liabilities (reported)</t>
  </si>
  <si>
    <t>Net working capital movement as reported in the CF statement</t>
  </si>
  <si>
    <t>Can include FX and acquisition effects.</t>
  </si>
  <si>
    <t>Adjustments – WC in Acquisitions</t>
  </si>
  <si>
    <t>Working capital changes from buying another business</t>
  </si>
  <si>
    <t>Disclosed in notes; remove from your core NWC bridge.</t>
  </si>
  <si>
    <t>Adjustments – FX Impact on WC</t>
  </si>
  <si>
    <t>Currency translation effects on working capital</t>
  </si>
  <si>
    <t>PP&amp;E Rollforward</t>
  </si>
  <si>
    <t>PP&amp;E, net — BEGIN / END</t>
  </si>
  <si>
    <t>Property, Plant &amp; Equipment after accumulated depreciation</t>
  </si>
  <si>
    <t>From BS under long-term assets.</t>
  </si>
  <si>
    <t>CF (Investing): Capital expenditures (CapEx)</t>
  </si>
  <si>
    <t>Cash outflows to buy or upgrade PP&amp;E</t>
  </si>
  <si>
    <t>Shown in CF Investing section.</t>
  </si>
  <si>
    <t>Depreciation &amp; Amortization expense (D&amp;A)</t>
  </si>
  <si>
    <t>Non-cash expense; reduces PP&amp;E value over time</t>
  </si>
  <si>
    <t>From IS or CF.</t>
  </si>
  <si>
    <t>Proceeds from asset sales / disposals</t>
  </si>
  <si>
    <t>Cash inflows from selling PP&amp;E</t>
  </si>
  <si>
    <t>From CF Investing section.</t>
  </si>
  <si>
    <t>Non-cash PP&amp;E adjustments</t>
  </si>
  <si>
    <t>Leases, impairments, FX translation adjustments to PP&amp;E</t>
  </si>
  <si>
    <t>Disclosed in notes.</t>
  </si>
  <si>
    <t>Debt Rollforward</t>
  </si>
  <si>
    <t>Total Debt — BEGIN / END</t>
  </si>
  <si>
    <t>Sum of short-term and long-term borrowings</t>
  </si>
  <si>
    <t>From BS liabilities.</t>
  </si>
  <si>
    <t>CF (Financing): Debt issued</t>
  </si>
  <si>
    <t>New borrowings (cash inflow)</t>
  </si>
  <si>
    <t>From CF Financing section.</t>
  </si>
  <si>
    <t>CF (Financing): Debt repaid</t>
  </si>
  <si>
    <t>Loan repayments (cash outflow)</t>
  </si>
  <si>
    <t>Adjustments: FX / Non-cash debt movements</t>
  </si>
  <si>
    <t>Currency impacts or debt changes not involving cash</t>
  </si>
  <si>
    <t>Retained Earnings Rollforward</t>
  </si>
  <si>
    <t>Retained Earnings — BEGIN / END</t>
  </si>
  <si>
    <t>Cumulative profits kept in the business (not paid as dividends)</t>
  </si>
  <si>
    <t>From BS under equity.</t>
  </si>
  <si>
    <t>Dividends paid</t>
  </si>
  <si>
    <t>Cash paid to shareholders from profits</t>
  </si>
  <si>
    <t>From CF Financing; often zero for software companies.</t>
  </si>
  <si>
    <t>OCI (Other Comprehensive Income)</t>
  </si>
  <si>
    <t>Items bypassing IS (e.g., FX translation gains/losses, pension adjustments)</t>
  </si>
  <si>
    <t>From Statement of Equity.</t>
  </si>
  <si>
    <t>Prior-period adjustments / restatements</t>
  </si>
  <si>
    <t>Corrections/restatements affecting retained earnings</t>
  </si>
  <si>
    <t>Disclosed in Statement of Equity or notes.</t>
  </si>
  <si>
    <t>Cash Reconciliation Aids</t>
  </si>
  <si>
    <t>CF: Net change in cash</t>
  </si>
  <si>
    <t>Increase/decrease in total cash during the period</t>
  </si>
  <si>
    <t>Final subtotal in CF before FX effect.</t>
  </si>
  <si>
    <t>CF: Effect of exchange rate changes on cash</t>
  </si>
  <si>
    <t>Impact of FX translation on cash balances</t>
  </si>
  <si>
    <t>Shown in CF after net change in cash.</t>
  </si>
  <si>
    <t>Paste the SAME three fiscal years across all sections</t>
  </si>
  <si>
    <t>Line</t>
  </si>
  <si>
    <t>Core Tie-Out Figures</t>
  </si>
  <si>
    <t>BS: Cash &amp; Cash Equivalents — END of period</t>
  </si>
  <si>
    <t>CF: Cash &amp; Cash Equivalents — END of period</t>
  </si>
  <si>
    <t>Working Capital (Balance Sheet)</t>
  </si>
  <si>
    <t>Accounts Receivable — END</t>
  </si>
  <si>
    <t>Accounts Receivable — BEGIN</t>
  </si>
  <si>
    <t>Accounts Payable — END</t>
  </si>
  <si>
    <t>Accounts Payable — BEGIN</t>
  </si>
  <si>
    <t>Deferred Revenue — END</t>
  </si>
  <si>
    <t>Deferred Revenue — BEGIN</t>
  </si>
  <si>
    <t>Other Current Assets — END</t>
  </si>
  <si>
    <t>Other Current Assets — BEGIN</t>
  </si>
  <si>
    <t>Other Current Liabilities — END</t>
  </si>
  <si>
    <t>Other Current Liabilities — BEGIN</t>
  </si>
  <si>
    <t>Inventory — END (if any)</t>
  </si>
  <si>
    <t>Inventory — BEGIN (if any)</t>
  </si>
  <si>
    <t>Adjustments: Working capital acquired in business combinations (if disclosed)</t>
  </si>
  <si>
    <t>Adjustments: FX/translation impact on working capital (if disclosed)</t>
  </si>
  <si>
    <t>PP&amp;E, net — BEGIN</t>
  </si>
  <si>
    <t>PP&amp;E, net — END</t>
  </si>
  <si>
    <t>CF (Investing): Capital expenditures (CapEx) — cash outflow</t>
  </si>
  <si>
    <t>Depreciation &amp; Amortization expense (from IS or CF)</t>
  </si>
  <si>
    <t>Proceeds from asset sales / disposals (Investing, if any)</t>
  </si>
  <si>
    <t>Non-cash PP&amp;E adjustments (leases, FX, impairments if disclosed)</t>
  </si>
  <si>
    <t>Total Debt — BEGIN (short + long-term)</t>
  </si>
  <si>
    <t>Total Debt — END (short + long-term)</t>
  </si>
  <si>
    <t>CF (Financing): Debt issued — cash inflow</t>
  </si>
  <si>
    <t>CF (Financing): Debt repaid — cash outflow</t>
  </si>
  <si>
    <t>Adjustments: FX / Non-cash debt movements (if disclosed)</t>
  </si>
  <si>
    <t>Equity &amp; Retained Earnings</t>
  </si>
  <si>
    <t>Retained Earnings — BEGIN</t>
  </si>
  <si>
    <t>Retained Earnings — END</t>
  </si>
  <si>
    <t>Dividends paid (CF Financing; often zero for software)</t>
  </si>
  <si>
    <t>Other Comprehensive Income (OCI) for the year (from Statement of Equity)</t>
  </si>
  <si>
    <t>Prior-period adjustments / restatements (if any)</t>
  </si>
  <si>
    <t>CF: Effect of exchange rate changes on cash (if reported)</t>
  </si>
  <si>
    <t>Automated Checks (PASS means your statements tie out for that check/year)</t>
  </si>
  <si>
    <t>Check</t>
  </si>
  <si>
    <t>2025 (FY-3) Status</t>
  </si>
  <si>
    <t>2024 (FY-2) Status</t>
  </si>
  <si>
    <t>2023 (FY-1) Status</t>
  </si>
  <si>
    <t>Cash tie-out: BS ending cash MINUS CF ending cash (should be 0)</t>
  </si>
  <si>
    <t>Net income tie-out: IS MINUS CF OCF net income (should be 0)</t>
  </si>
  <si>
    <t>Working capital bridge: (Reported CF change in OA&amp;L) MINUS (computed -ΔNWC adjusted) (should be 0 ± rounding)</t>
  </si>
  <si>
    <t>GitLab’s 10-K only provides Balance Sheet data for FY2025 and FY2024. FY2023 Balance Sheet values are not disclosed. For reconciliation purposes, FY2023 Balance Sheet ‘BEGIN’ values are set to zero, and working capital / PP&amp;E rollforwards for FY2023 and FY2024 should be interpreted as non-applicable. This does not affect modeling going forward.</t>
  </si>
  <si>
    <t>PP&amp;E rollforward: Expected END (Begin - CapEx - D&amp;A + Disposals + Non-cash) MINUS BS END (should be 0 ± rounding)</t>
  </si>
  <si>
    <t>Debt rollforward: Expected END (Begin + Issued - Repaid + Adj) MINUS BS END (should be 0 ± rounding)</t>
  </si>
  <si>
    <t>Retained earnings rollforward: Expected END (Begin + NI - Dividends + Prior adj) MINUS BS END (should be 0 ± rounding)</t>
  </si>
  <si>
    <t>Test Name</t>
  </si>
  <si>
    <t>Year</t>
  </si>
  <si>
    <t>Symptom (what failed)</t>
  </si>
  <si>
    <t>Likely Cause</t>
  </si>
  <si>
    <t>Action Taken</t>
  </si>
  <si>
    <t>Resolved?</t>
  </si>
  <si>
    <t>ALL</t>
  </si>
  <si>
    <t>Incorrect Net Income numbers (potentially calculation errors in original Income Statement sheet)</t>
  </si>
  <si>
    <t>Wrong category / mapping</t>
  </si>
  <si>
    <t>Needed to take Net Income number from "Net loss attributable to GitLab" from IS_Raw, not the Net Income number on IS_Raw, since that is the true net income attributable to GitLab common stockholders.</t>
  </si>
  <si>
    <t>YES</t>
  </si>
  <si>
    <t>Incorrect Balance Sheet Cash &amp; Cash Equivalents numbers (potentially calculation errors in original Balance Sheet</t>
  </si>
  <si>
    <t>"Short-Term Investments" was wrongly included under "Cash &amp; Cash Equivalents" in the original Cash Flow Statement. "Short-Term Investments" was changed to being under "Other Current Assets".</t>
  </si>
  <si>
    <t>Missing Cash Flow Statement Cash &amp; Cash Equivalents numbers (potentially calculation errors in original Cash Flow Statement)</t>
  </si>
  <si>
    <t>Copy/paste error</t>
  </si>
  <si>
    <t xml:space="preserve">Due to a page break in the original 10-K PDF, the section containing the Cash &amp; Cash Equivalents line items was not typed into the CF_Raw worksheet. This section was typed in and checked to reconcile the issue. </t>
  </si>
  <si>
    <t>Final numbers not tying out.</t>
  </si>
  <si>
    <t>Restricted cash causing tie-out issue</t>
  </si>
  <si>
    <t>NO</t>
  </si>
  <si>
    <r>
      <rPr>
        <rFont val="Calibri"/>
        <color theme="1"/>
      </rPr>
      <t>Typing error (79</t>
    </r>
    <r>
      <rPr>
        <rFont val="Calibri"/>
        <b/>
        <color theme="1"/>
      </rPr>
      <t>.</t>
    </r>
    <r>
      <rPr>
        <rFont val="Calibri"/>
        <color theme="1"/>
      </rPr>
      <t>375 instead of 79</t>
    </r>
    <r>
      <rPr>
        <rFont val="Calibri"/>
        <b/>
        <color theme="1"/>
      </rPr>
      <t>,</t>
    </r>
    <r>
      <rPr>
        <rFont val="Calibri"/>
        <color theme="1"/>
      </rPr>
      <t>375)</t>
    </r>
  </si>
  <si>
    <t>Fixed typing error.</t>
  </si>
  <si>
    <t>Was not sure if adjustments: WC acquired in business combinations was disclosed or not</t>
  </si>
  <si>
    <t>Non-cash item misinterpreted</t>
  </si>
  <si>
    <r>
      <rPr>
        <rFont val="Calibri"/>
        <color theme="1"/>
      </rPr>
      <t xml:space="preserve">Set to 0 since GitLab Inc. disclosed </t>
    </r>
    <r>
      <rPr>
        <rFont val="Calibri"/>
        <b/>
        <color theme="1"/>
      </rPr>
      <t>none</t>
    </r>
    <r>
      <rPr>
        <rFont val="Calibri"/>
        <color theme="1"/>
      </rPr>
      <t>.</t>
    </r>
  </si>
  <si>
    <t>Was not sure if adjustments: FX impact on working capital was disclosed or not</t>
  </si>
  <si>
    <r>
      <rPr>
        <rFont val="Calibri"/>
        <color theme="1"/>
      </rPr>
      <t xml:space="preserve">Set to 0 since GitLab Inc. disclosed </t>
    </r>
    <r>
      <rPr>
        <rFont val="Calibri"/>
        <b/>
        <color theme="1"/>
      </rPr>
      <t>none</t>
    </r>
    <r>
      <rPr>
        <rFont val="Calibri"/>
        <color theme="1"/>
      </rPr>
      <t>.</t>
    </r>
  </si>
  <si>
    <t>Was not sure if there were any non-cash PP&amp;E adjustments</t>
  </si>
  <si>
    <r>
      <rPr>
        <rFont val="Calibri"/>
        <color theme="1"/>
      </rPr>
      <t xml:space="preserve">Set to 0 since GitLab Inc. disclosed </t>
    </r>
    <r>
      <rPr>
        <rFont val="Calibri"/>
        <b/>
        <color theme="1"/>
      </rPr>
      <t>none</t>
    </r>
    <r>
      <rPr>
        <rFont val="Calibri"/>
        <color theme="1"/>
      </rPr>
      <t>.</t>
    </r>
  </si>
  <si>
    <t>Equity &amp; Retained Earnings Rollforward</t>
  </si>
  <si>
    <t>Was not sure if there were any prior-period adjustments/restatements</t>
  </si>
  <si>
    <r>
      <rPr>
        <rFont val="Calibri"/>
        <color theme="1"/>
      </rPr>
      <t xml:space="preserve">Set to 0 since GitLab Inc. disclosed </t>
    </r>
    <r>
      <rPr>
        <rFont val="Calibri"/>
        <b/>
        <color theme="1"/>
      </rPr>
      <t>none</t>
    </r>
    <r>
      <rPr>
        <rFont val="Calibri"/>
        <color theme="1"/>
      </rPr>
      <t>.</t>
    </r>
  </si>
  <si>
    <t>Final number not tying out.</t>
  </si>
  <si>
    <t>Updated numbers to refect usage of the "Net loss atrributable to GitHub" Net Income number, not the Net Income number on IS_Raw</t>
  </si>
  <si>
    <t>Units mismatch (000s vs millions)</t>
  </si>
  <si>
    <t>Period mismatch (TTM vs FY)</t>
  </si>
  <si>
    <t>Sign flipped (+/-)</t>
  </si>
  <si>
    <t>Double-counted subtotal</t>
  </si>
  <si>
    <t>Acquisition effects not adjusted</t>
  </si>
  <si>
    <t>FX/translation not captured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</si>
</sst>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Calibri"/>
    </font>
    <font>
      <b/>
      <sz val="11.0"/>
      <color theme="1"/>
      <name val="Calibri"/>
    </font>
    <font>
      <color theme="1"/>
      <name val="Calibri"/>
    </font>
    <font>
      <sz val="11.0"/>
      <color theme="1"/>
      <name val="Calibri"/>
    </font>
    <font>
      <b/>
      <sz val="16.0"/>
      <color theme="1"/>
      <name val="Calibri"/>
    </font>
    <font>
      <b/>
      <color theme="1"/>
      <name val="Calibri"/>
    </font>
    <font/>
    <font>
      <i/>
      <sz val="11.0"/>
      <color rgb="FF666666"/>
      <name val="Calibri"/>
    </font>
    <font>
      <b/>
      <sz val="11.0"/>
      <color rgb="FF006100"/>
      <name val="Calibri"/>
    </font>
    <font>
      <color theme="1"/>
      <name val="Calibri"/>
      <scheme val="minor"/>
    </font>
  </fonts>
  <fills count="14">
    <fill>
      <patternFill patternType="none"/>
    </fill>
    <fill>
      <patternFill patternType="lightGray"/>
    </fill>
    <fill>
      <patternFill patternType="solid">
        <fgColor rgb="FFD9D9D9"/>
        <bgColor rgb="FFD9D9D9"/>
      </patternFill>
    </fill>
    <fill>
      <patternFill patternType="solid">
        <fgColor rgb="FFFF9900"/>
        <bgColor rgb="FFFF9900"/>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DCE6F1"/>
        <bgColor rgb="FFDCE6F1"/>
      </patternFill>
    </fill>
    <fill>
      <patternFill patternType="solid">
        <fgColor rgb="FFE6B8AF"/>
        <bgColor rgb="FFE6B8AF"/>
      </patternFill>
    </fill>
    <fill>
      <patternFill patternType="solid">
        <fgColor rgb="FFF0F0F0"/>
        <bgColor rgb="FFF0F0F0"/>
      </patternFill>
    </fill>
    <fill>
      <patternFill patternType="solid">
        <fgColor rgb="FFFFF2CC"/>
        <bgColor rgb="FFFFF2CC"/>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3" numFmtId="0" xfId="0" applyBorder="1" applyFont="1"/>
    <xf borderId="1" fillId="0" fontId="2" numFmtId="0" xfId="0" applyAlignment="1" applyBorder="1" applyFont="1">
      <alignment horizontal="left" vertical="center"/>
    </xf>
    <xf borderId="1" fillId="0" fontId="3" numFmtId="0" xfId="0" applyAlignment="1" applyBorder="1" applyFont="1">
      <alignment shrinkToFit="0" wrapText="1"/>
    </xf>
    <xf borderId="1" fillId="0" fontId="2" numFmtId="0" xfId="0" applyAlignment="1" applyBorder="1" applyFont="1">
      <alignment vertical="center"/>
    </xf>
    <xf borderId="1" fillId="0" fontId="4" numFmtId="0" xfId="0" applyAlignment="1" applyBorder="1" applyFont="1">
      <alignment shrinkToFit="0" wrapText="1"/>
    </xf>
    <xf borderId="0" fillId="2" fontId="5" numFmtId="0" xfId="0" applyAlignment="1" applyFill="1" applyFont="1">
      <alignment horizontal="center"/>
    </xf>
    <xf borderId="0" fillId="0" fontId="3" numFmtId="0" xfId="0" applyFont="1"/>
    <xf borderId="1" fillId="3" fontId="6" numFmtId="0" xfId="0" applyBorder="1" applyFill="1" applyFont="1"/>
    <xf borderId="2" fillId="4" fontId="6" numFmtId="0" xfId="0" applyAlignment="1" applyBorder="1" applyFill="1" applyFont="1">
      <alignment horizontal="center"/>
    </xf>
    <xf borderId="3" fillId="0" fontId="7" numFmtId="0" xfId="0" applyBorder="1" applyFont="1"/>
    <xf borderId="4" fillId="0" fontId="7" numFmtId="0" xfId="0" applyBorder="1" applyFont="1"/>
    <xf borderId="1" fillId="0" fontId="6" numFmtId="0" xfId="0" applyBorder="1" applyFont="1"/>
    <xf borderId="1" fillId="0" fontId="3" numFmtId="0" xfId="0" applyAlignment="1" applyBorder="1" applyFont="1">
      <alignment shrinkToFit="0" vertical="center" wrapText="1"/>
    </xf>
    <xf borderId="2" fillId="5" fontId="6" numFmtId="0" xfId="0" applyAlignment="1" applyBorder="1" applyFill="1" applyFont="1">
      <alignment horizontal="center"/>
    </xf>
    <xf borderId="2" fillId="6" fontId="6" numFmtId="0" xfId="0" applyAlignment="1" applyBorder="1" applyFill="1" applyFont="1">
      <alignment horizontal="center"/>
    </xf>
    <xf borderId="2" fillId="7" fontId="6" numFmtId="0" xfId="0" applyAlignment="1" applyBorder="1" applyFill="1" applyFont="1">
      <alignment horizontal="center"/>
    </xf>
    <xf borderId="1" fillId="0" fontId="6" numFmtId="0" xfId="0" applyAlignment="1" applyBorder="1" applyFont="1">
      <alignment shrinkToFit="0" wrapText="1"/>
    </xf>
    <xf borderId="2" fillId="8" fontId="6" numFmtId="0" xfId="0" applyAlignment="1" applyBorder="1" applyFill="1" applyFont="1">
      <alignment horizontal="center"/>
    </xf>
    <xf borderId="2" fillId="9" fontId="6" numFmtId="0" xfId="0" applyAlignment="1" applyBorder="1" applyFill="1" applyFont="1">
      <alignment horizontal="center"/>
    </xf>
    <xf borderId="2" fillId="10" fontId="6" numFmtId="0" xfId="0" applyAlignment="1" applyBorder="1" applyFill="1" applyFont="1">
      <alignment horizontal="center"/>
    </xf>
    <xf borderId="0" fillId="0" fontId="8" numFmtId="0" xfId="0" applyFont="1"/>
    <xf borderId="1" fillId="9" fontId="2" numFmtId="0" xfId="0" applyBorder="1" applyFont="1"/>
    <xf borderId="1" fillId="9" fontId="2" numFmtId="0" xfId="0" applyAlignment="1" applyBorder="1" applyFont="1">
      <alignment readingOrder="0"/>
    </xf>
    <xf borderId="2" fillId="11" fontId="2" numFmtId="0" xfId="0" applyBorder="1" applyFill="1" applyFont="1"/>
    <xf borderId="1" fillId="0" fontId="4" numFmtId="0" xfId="0" applyBorder="1" applyFont="1"/>
    <xf borderId="1" fillId="12" fontId="4" numFmtId="3" xfId="0" applyAlignment="1" applyBorder="1" applyFill="1" applyFont="1" applyNumberFormat="1">
      <alignment readingOrder="0"/>
    </xf>
    <xf borderId="1" fillId="12" fontId="4" numFmtId="0" xfId="0" applyAlignment="1" applyBorder="1" applyFont="1">
      <alignment readingOrder="0"/>
    </xf>
    <xf borderId="1" fillId="0" fontId="4" numFmtId="3" xfId="0" applyBorder="1" applyFont="1" applyNumberFormat="1"/>
    <xf borderId="0" fillId="0" fontId="9" numFmtId="0" xfId="0" applyFont="1"/>
    <xf borderId="0" fillId="13" fontId="9" numFmtId="0" xfId="0" applyFill="1" applyFont="1"/>
    <xf borderId="0" fillId="13" fontId="10" numFmtId="0" xfId="0" applyAlignment="1" applyFont="1">
      <alignment readingOrder="0" shrinkToFit="0" wrapText="1"/>
    </xf>
    <xf borderId="0" fillId="0" fontId="10" numFmtId="0" xfId="0" applyAlignment="1" applyFont="1">
      <alignment readingOrder="0" shrinkToFit="0"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00.71"/>
    <col customWidth="1" min="3" max="26" width="8.71"/>
  </cols>
  <sheetData>
    <row r="1">
      <c r="A1" s="1" t="s">
        <v>0</v>
      </c>
    </row>
    <row r="3">
      <c r="A3" s="2" t="s">
        <v>1</v>
      </c>
      <c r="B3" s="3" t="s">
        <v>2</v>
      </c>
    </row>
    <row r="5">
      <c r="A5" s="4" t="s">
        <v>3</v>
      </c>
      <c r="B5" s="5" t="s">
        <v>4</v>
      </c>
    </row>
    <row r="8">
      <c r="A8" s="6" t="s">
        <v>5</v>
      </c>
      <c r="B8" s="3" t="s">
        <v>6</v>
      </c>
    </row>
    <row r="10">
      <c r="A10" s="6" t="s">
        <v>7</v>
      </c>
      <c r="B10" s="7"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86"/>
    <col customWidth="1" min="2" max="2" width="63.57"/>
    <col customWidth="1" min="3" max="3" width="75.29"/>
  </cols>
  <sheetData>
    <row r="1">
      <c r="A1" s="8" t="s">
        <v>9</v>
      </c>
    </row>
    <row r="2">
      <c r="A2" s="9"/>
      <c r="B2" s="9"/>
      <c r="C2" s="9"/>
    </row>
    <row r="3">
      <c r="A3" s="9"/>
      <c r="B3" s="9"/>
      <c r="C3" s="9"/>
    </row>
    <row r="4">
      <c r="A4" s="10" t="s">
        <v>10</v>
      </c>
      <c r="B4" s="10" t="s">
        <v>11</v>
      </c>
      <c r="C4" s="10" t="s">
        <v>12</v>
      </c>
    </row>
    <row r="5">
      <c r="A5" s="3" t="s">
        <v>13</v>
      </c>
      <c r="B5" s="3" t="s">
        <v>14</v>
      </c>
      <c r="C5" s="3" t="s">
        <v>15</v>
      </c>
    </row>
    <row r="6">
      <c r="A6" s="3" t="s">
        <v>16</v>
      </c>
      <c r="B6" s="3" t="s">
        <v>17</v>
      </c>
      <c r="C6" s="3" t="s">
        <v>18</v>
      </c>
    </row>
    <row r="7">
      <c r="A7" s="3" t="s">
        <v>19</v>
      </c>
      <c r="B7" s="3" t="s">
        <v>20</v>
      </c>
      <c r="C7" s="3" t="s">
        <v>21</v>
      </c>
    </row>
    <row r="8">
      <c r="A8" s="3" t="s">
        <v>22</v>
      </c>
      <c r="B8" s="3" t="s">
        <v>23</v>
      </c>
      <c r="C8" s="3" t="s">
        <v>24</v>
      </c>
    </row>
    <row r="9">
      <c r="A9" s="3" t="s">
        <v>25</v>
      </c>
      <c r="B9" s="3" t="s">
        <v>26</v>
      </c>
      <c r="C9" s="3" t="s">
        <v>27</v>
      </c>
    </row>
    <row r="12">
      <c r="A12" s="11" t="s">
        <v>28</v>
      </c>
      <c r="B12" s="12"/>
      <c r="C12" s="13"/>
    </row>
    <row r="13">
      <c r="A13" s="14" t="s">
        <v>10</v>
      </c>
      <c r="B13" s="14" t="s">
        <v>11</v>
      </c>
      <c r="C13" s="14" t="s">
        <v>12</v>
      </c>
    </row>
    <row r="14">
      <c r="A14" s="15" t="s">
        <v>29</v>
      </c>
      <c r="B14" s="15" t="s">
        <v>30</v>
      </c>
      <c r="C14" s="15" t="s">
        <v>31</v>
      </c>
    </row>
    <row r="15">
      <c r="A15" s="15" t="s">
        <v>32</v>
      </c>
      <c r="B15" s="15" t="s">
        <v>33</v>
      </c>
      <c r="C15" s="15" t="s">
        <v>34</v>
      </c>
    </row>
    <row r="18">
      <c r="A18" s="16" t="s">
        <v>35</v>
      </c>
      <c r="B18" s="12"/>
      <c r="C18" s="13"/>
    </row>
    <row r="19">
      <c r="A19" s="14" t="s">
        <v>10</v>
      </c>
      <c r="B19" s="14" t="s">
        <v>11</v>
      </c>
      <c r="C19" s="14" t="s">
        <v>12</v>
      </c>
    </row>
    <row r="20">
      <c r="A20" s="15" t="s">
        <v>36</v>
      </c>
      <c r="B20" s="15" t="s">
        <v>37</v>
      </c>
      <c r="C20" s="15" t="s">
        <v>38</v>
      </c>
    </row>
    <row r="21">
      <c r="A21" s="15" t="s">
        <v>39</v>
      </c>
      <c r="B21" s="15" t="s">
        <v>40</v>
      </c>
      <c r="C21" s="15" t="s">
        <v>41</v>
      </c>
    </row>
    <row r="24">
      <c r="A24" s="17" t="s">
        <v>42</v>
      </c>
      <c r="B24" s="12"/>
      <c r="C24" s="13"/>
    </row>
    <row r="25">
      <c r="A25" s="14" t="s">
        <v>10</v>
      </c>
      <c r="B25" s="14" t="s">
        <v>11</v>
      </c>
      <c r="C25" s="14" t="s">
        <v>12</v>
      </c>
    </row>
    <row r="26">
      <c r="A26" s="5" t="s">
        <v>43</v>
      </c>
      <c r="B26" s="5" t="s">
        <v>44</v>
      </c>
      <c r="C26" s="5" t="s">
        <v>45</v>
      </c>
    </row>
    <row r="27">
      <c r="A27" s="5" t="s">
        <v>46</v>
      </c>
      <c r="B27" s="5" t="s">
        <v>47</v>
      </c>
      <c r="C27" s="5" t="s">
        <v>48</v>
      </c>
    </row>
    <row r="28">
      <c r="A28" s="5" t="s">
        <v>49</v>
      </c>
      <c r="B28" s="5" t="s">
        <v>50</v>
      </c>
      <c r="C28" s="5" t="s">
        <v>51</v>
      </c>
    </row>
    <row r="29">
      <c r="A29" s="5" t="s">
        <v>52</v>
      </c>
      <c r="B29" s="5" t="s">
        <v>53</v>
      </c>
      <c r="C29" s="5" t="s">
        <v>54</v>
      </c>
    </row>
    <row r="30">
      <c r="A30" s="5" t="s">
        <v>55</v>
      </c>
      <c r="B30" s="5" t="s">
        <v>56</v>
      </c>
      <c r="C30" s="5" t="s">
        <v>57</v>
      </c>
    </row>
    <row r="31">
      <c r="A31" s="5" t="s">
        <v>58</v>
      </c>
      <c r="B31" s="5" t="s">
        <v>59</v>
      </c>
      <c r="C31" s="5" t="s">
        <v>60</v>
      </c>
    </row>
    <row r="32">
      <c r="A32" s="5" t="s">
        <v>61</v>
      </c>
      <c r="B32" s="5" t="s">
        <v>62</v>
      </c>
      <c r="C32" s="5" t="s">
        <v>63</v>
      </c>
    </row>
    <row r="33">
      <c r="A33" s="5" t="s">
        <v>64</v>
      </c>
      <c r="B33" s="5" t="s">
        <v>65</v>
      </c>
      <c r="C33" s="5" t="s">
        <v>66</v>
      </c>
    </row>
    <row r="34">
      <c r="A34" s="5" t="s">
        <v>67</v>
      </c>
      <c r="B34" s="5" t="s">
        <v>68</v>
      </c>
      <c r="C34" s="5" t="s">
        <v>66</v>
      </c>
    </row>
    <row r="37">
      <c r="A37" s="18" t="s">
        <v>69</v>
      </c>
      <c r="B37" s="12"/>
      <c r="C37" s="13"/>
    </row>
    <row r="38">
      <c r="A38" s="19" t="s">
        <v>10</v>
      </c>
      <c r="B38" s="19" t="s">
        <v>11</v>
      </c>
      <c r="C38" s="14" t="s">
        <v>12</v>
      </c>
    </row>
    <row r="39">
      <c r="A39" s="5" t="s">
        <v>70</v>
      </c>
      <c r="B39" s="5" t="s">
        <v>71</v>
      </c>
      <c r="C39" s="5" t="s">
        <v>72</v>
      </c>
    </row>
    <row r="40">
      <c r="A40" s="5" t="s">
        <v>73</v>
      </c>
      <c r="B40" s="5" t="s">
        <v>74</v>
      </c>
      <c r="C40" s="5" t="s">
        <v>75</v>
      </c>
    </row>
    <row r="41">
      <c r="A41" s="5" t="s">
        <v>76</v>
      </c>
      <c r="B41" s="5" t="s">
        <v>77</v>
      </c>
      <c r="C41" s="5" t="s">
        <v>78</v>
      </c>
    </row>
    <row r="42">
      <c r="A42" s="5" t="s">
        <v>79</v>
      </c>
      <c r="B42" s="5" t="s">
        <v>80</v>
      </c>
      <c r="C42" s="5" t="s">
        <v>81</v>
      </c>
    </row>
    <row r="43">
      <c r="A43" s="5" t="s">
        <v>82</v>
      </c>
      <c r="B43" s="5" t="s">
        <v>83</v>
      </c>
      <c r="C43" s="5" t="s">
        <v>84</v>
      </c>
    </row>
    <row r="46">
      <c r="A46" s="20" t="s">
        <v>85</v>
      </c>
      <c r="B46" s="12"/>
      <c r="C46" s="13"/>
    </row>
    <row r="47">
      <c r="A47" s="14" t="s">
        <v>10</v>
      </c>
      <c r="B47" s="14" t="s">
        <v>11</v>
      </c>
      <c r="C47" s="14" t="s">
        <v>12</v>
      </c>
    </row>
    <row r="48">
      <c r="A48" s="3" t="s">
        <v>86</v>
      </c>
      <c r="B48" s="3" t="s">
        <v>87</v>
      </c>
      <c r="C48" s="3" t="s">
        <v>88</v>
      </c>
    </row>
    <row r="49">
      <c r="A49" s="3" t="s">
        <v>89</v>
      </c>
      <c r="B49" s="3" t="s">
        <v>90</v>
      </c>
      <c r="C49" s="3" t="s">
        <v>91</v>
      </c>
    </row>
    <row r="50">
      <c r="A50" s="3" t="s">
        <v>92</v>
      </c>
      <c r="B50" s="3" t="s">
        <v>93</v>
      </c>
      <c r="C50" s="3" t="s">
        <v>91</v>
      </c>
    </row>
    <row r="51">
      <c r="A51" s="3" t="s">
        <v>94</v>
      </c>
      <c r="B51" s="3" t="s">
        <v>95</v>
      </c>
      <c r="C51" s="3" t="s">
        <v>84</v>
      </c>
    </row>
    <row r="54">
      <c r="A54" s="21" t="s">
        <v>96</v>
      </c>
      <c r="B54" s="12"/>
      <c r="C54" s="13"/>
    </row>
    <row r="55">
      <c r="A55" s="14" t="s">
        <v>10</v>
      </c>
      <c r="B55" s="14" t="s">
        <v>11</v>
      </c>
      <c r="C55" s="14" t="s">
        <v>12</v>
      </c>
    </row>
    <row r="56">
      <c r="A56" s="3" t="s">
        <v>97</v>
      </c>
      <c r="B56" s="3" t="s">
        <v>98</v>
      </c>
      <c r="C56" s="3" t="s">
        <v>99</v>
      </c>
    </row>
    <row r="57">
      <c r="A57" s="3" t="s">
        <v>100</v>
      </c>
      <c r="B57" s="3" t="s">
        <v>101</v>
      </c>
      <c r="C57" s="3" t="s">
        <v>102</v>
      </c>
    </row>
    <row r="58">
      <c r="A58" s="3" t="s">
        <v>103</v>
      </c>
      <c r="B58" s="3" t="s">
        <v>104</v>
      </c>
      <c r="C58" s="3" t="s">
        <v>105</v>
      </c>
    </row>
    <row r="59">
      <c r="A59" s="3" t="s">
        <v>106</v>
      </c>
      <c r="B59" s="3" t="s">
        <v>107</v>
      </c>
      <c r="C59" s="3" t="s">
        <v>108</v>
      </c>
    </row>
    <row r="62">
      <c r="A62" s="22" t="s">
        <v>109</v>
      </c>
      <c r="B62" s="12"/>
      <c r="C62" s="13"/>
    </row>
    <row r="63">
      <c r="A63" s="19" t="s">
        <v>10</v>
      </c>
      <c r="B63" s="19" t="s">
        <v>11</v>
      </c>
      <c r="C63" s="14" t="s">
        <v>12</v>
      </c>
    </row>
    <row r="64">
      <c r="A64" s="5" t="s">
        <v>110</v>
      </c>
      <c r="B64" s="5" t="s">
        <v>111</v>
      </c>
      <c r="C64" s="5" t="s">
        <v>112</v>
      </c>
    </row>
    <row r="65">
      <c r="A65" s="5" t="s">
        <v>113</v>
      </c>
      <c r="B65" s="5" t="s">
        <v>114</v>
      </c>
      <c r="C65" s="5" t="s">
        <v>115</v>
      </c>
    </row>
  </sheetData>
  <mergeCells count="8">
    <mergeCell ref="A1:C1"/>
    <mergeCell ref="A12:C12"/>
    <mergeCell ref="A18:C18"/>
    <mergeCell ref="A24:C24"/>
    <mergeCell ref="A37:C37"/>
    <mergeCell ref="A46:C46"/>
    <mergeCell ref="A54:C54"/>
    <mergeCell ref="A62:C6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67.0"/>
    <col customWidth="1" min="2" max="4" width="18.71"/>
    <col customWidth="1" min="5" max="26" width="8.71"/>
  </cols>
  <sheetData>
    <row r="1">
      <c r="A1" s="23" t="s">
        <v>116</v>
      </c>
    </row>
    <row r="3">
      <c r="A3" s="24" t="s">
        <v>117</v>
      </c>
    </row>
    <row r="4">
      <c r="B4" s="25">
        <v>2025.0</v>
      </c>
      <c r="C4" s="25">
        <v>2024.0</v>
      </c>
      <c r="D4" s="25">
        <v>2023.0</v>
      </c>
    </row>
    <row r="5">
      <c r="A5" s="26" t="s">
        <v>118</v>
      </c>
      <c r="B5" s="12"/>
      <c r="C5" s="12"/>
      <c r="D5" s="13"/>
    </row>
    <row r="6">
      <c r="A6" s="27" t="s">
        <v>36</v>
      </c>
      <c r="B6" s="28">
        <v>-9119.0</v>
      </c>
      <c r="C6" s="28">
        <v>-429536.0</v>
      </c>
      <c r="D6" s="28">
        <v>-181792.0</v>
      </c>
    </row>
    <row r="7">
      <c r="A7" s="27" t="s">
        <v>39</v>
      </c>
      <c r="B7" s="28">
        <v>-9119.0</v>
      </c>
      <c r="C7" s="28">
        <v>-429536.0</v>
      </c>
      <c r="D7" s="28">
        <v>-181792.0</v>
      </c>
    </row>
    <row r="8">
      <c r="A8" s="27" t="s">
        <v>119</v>
      </c>
      <c r="B8" s="28">
        <v>227649.0</v>
      </c>
      <c r="C8" s="28">
        <v>287996.0</v>
      </c>
      <c r="D8" s="28">
        <v>295402.0</v>
      </c>
    </row>
    <row r="9">
      <c r="A9" s="27" t="s">
        <v>120</v>
      </c>
      <c r="B9" s="28">
        <v>227649.0</v>
      </c>
      <c r="C9" s="28">
        <v>287996.0</v>
      </c>
      <c r="D9" s="28">
        <v>295402.0</v>
      </c>
    </row>
    <row r="10">
      <c r="A10" s="26" t="s">
        <v>121</v>
      </c>
      <c r="B10" s="12"/>
      <c r="C10" s="12"/>
      <c r="D10" s="13"/>
    </row>
    <row r="11">
      <c r="A11" s="27" t="s">
        <v>122</v>
      </c>
      <c r="B11" s="28">
        <v>264565.0</v>
      </c>
      <c r="C11" s="28">
        <v>166731.0</v>
      </c>
      <c r="D11" s="29">
        <v>0.0</v>
      </c>
    </row>
    <row r="12">
      <c r="A12" s="27" t="s">
        <v>123</v>
      </c>
      <c r="B12" s="28">
        <v>166731.0</v>
      </c>
      <c r="C12" s="29">
        <v>0.0</v>
      </c>
      <c r="D12" s="29">
        <v>0.0</v>
      </c>
    </row>
    <row r="13">
      <c r="A13" s="27" t="s">
        <v>124</v>
      </c>
      <c r="B13" s="28">
        <v>7519.0</v>
      </c>
      <c r="C13" s="28">
        <v>1738.0</v>
      </c>
      <c r="D13" s="29">
        <v>0.0</v>
      </c>
    </row>
    <row r="14">
      <c r="A14" s="27" t="s">
        <v>125</v>
      </c>
      <c r="B14" s="28">
        <v>1738.0</v>
      </c>
      <c r="C14" s="29">
        <v>0.0</v>
      </c>
      <c r="D14" s="29">
        <v>0.0</v>
      </c>
    </row>
    <row r="15">
      <c r="A15" s="27" t="s">
        <v>126</v>
      </c>
      <c r="B15" s="28">
        <v>468968.0</v>
      </c>
      <c r="C15" s="28">
        <v>362142.0</v>
      </c>
      <c r="D15" s="29">
        <v>0.0</v>
      </c>
    </row>
    <row r="16">
      <c r="A16" s="27" t="s">
        <v>127</v>
      </c>
      <c r="B16" s="28">
        <v>362142.0</v>
      </c>
      <c r="C16" s="29">
        <v>0.0</v>
      </c>
      <c r="D16" s="29">
        <v>0.0</v>
      </c>
    </row>
    <row r="17">
      <c r="A17" s="27" t="s">
        <v>128</v>
      </c>
      <c r="B17" s="28">
        <v>79375.0</v>
      </c>
      <c r="C17" s="28">
        <v>81443.0</v>
      </c>
      <c r="D17" s="29">
        <v>0.0</v>
      </c>
    </row>
    <row r="18">
      <c r="A18" s="27" t="s">
        <v>129</v>
      </c>
      <c r="B18" s="28">
        <v>81443.0</v>
      </c>
      <c r="C18" s="29">
        <v>0.0</v>
      </c>
      <c r="D18" s="29">
        <v>0.0</v>
      </c>
    </row>
    <row r="19">
      <c r="A19" s="27" t="s">
        <v>130</v>
      </c>
      <c r="B19" s="28">
        <v>94913.0</v>
      </c>
      <c r="C19" s="28">
        <v>337071.0</v>
      </c>
      <c r="D19" s="29">
        <v>0.0</v>
      </c>
    </row>
    <row r="20">
      <c r="A20" s="27" t="s">
        <v>131</v>
      </c>
      <c r="B20" s="28">
        <v>337071.0</v>
      </c>
      <c r="C20" s="29">
        <v>0.0</v>
      </c>
      <c r="D20" s="29">
        <v>0.0</v>
      </c>
    </row>
    <row r="21" ht="15.75" customHeight="1">
      <c r="A21" s="27" t="s">
        <v>132</v>
      </c>
      <c r="B21" s="29">
        <v>0.0</v>
      </c>
      <c r="C21" s="29">
        <v>0.0</v>
      </c>
      <c r="D21" s="29">
        <v>0.0</v>
      </c>
    </row>
    <row r="22" ht="15.75" customHeight="1">
      <c r="A22" s="27" t="s">
        <v>133</v>
      </c>
      <c r="B22" s="29">
        <v>0.0</v>
      </c>
      <c r="C22" s="29">
        <v>0.0</v>
      </c>
      <c r="D22" s="29">
        <v>0.0</v>
      </c>
    </row>
    <row r="23" ht="15.75" customHeight="1">
      <c r="A23" s="27" t="s">
        <v>61</v>
      </c>
      <c r="B23" s="28">
        <v>-291686.0</v>
      </c>
      <c r="C23" s="28">
        <v>242333.0</v>
      </c>
      <c r="D23" s="28">
        <v>-43518.0</v>
      </c>
    </row>
    <row r="24" ht="15.75" customHeight="1">
      <c r="A24" s="27" t="s">
        <v>134</v>
      </c>
      <c r="B24" s="29">
        <v>0.0</v>
      </c>
      <c r="C24" s="29">
        <v>0.0</v>
      </c>
      <c r="D24" s="29">
        <v>0.0</v>
      </c>
    </row>
    <row r="25" ht="15.75" customHeight="1">
      <c r="A25" s="27" t="s">
        <v>135</v>
      </c>
      <c r="B25" s="29">
        <v>0.0</v>
      </c>
      <c r="C25" s="29">
        <v>0.0</v>
      </c>
      <c r="D25" s="29">
        <v>0.0</v>
      </c>
    </row>
    <row r="26" ht="15.75" customHeight="1">
      <c r="A26" s="26" t="s">
        <v>69</v>
      </c>
      <c r="B26" s="12"/>
      <c r="C26" s="12"/>
      <c r="D26" s="13"/>
    </row>
    <row r="27" ht="15.75" customHeight="1">
      <c r="A27" s="27" t="s">
        <v>136</v>
      </c>
      <c r="B27" s="28">
        <v>2954.0</v>
      </c>
      <c r="C27" s="29">
        <v>0.0</v>
      </c>
      <c r="D27" s="29">
        <v>0.0</v>
      </c>
    </row>
    <row r="28" ht="15.75" customHeight="1">
      <c r="A28" s="27" t="s">
        <v>137</v>
      </c>
      <c r="B28" s="28">
        <v>4013.0</v>
      </c>
      <c r="C28" s="28">
        <v>2954.0</v>
      </c>
      <c r="D28" s="29">
        <v>0.0</v>
      </c>
    </row>
    <row r="29" ht="15.75" customHeight="1">
      <c r="A29" s="27" t="s">
        <v>138</v>
      </c>
      <c r="B29" s="28">
        <v>-3765.0</v>
      </c>
      <c r="C29" s="28">
        <v>-1596.0</v>
      </c>
      <c r="D29" s="28">
        <v>-6070.0</v>
      </c>
    </row>
    <row r="30" ht="15.75" customHeight="1">
      <c r="A30" s="27" t="s">
        <v>139</v>
      </c>
      <c r="B30" s="28">
        <v>10986.0</v>
      </c>
      <c r="C30" s="28">
        <v>6535.0</v>
      </c>
      <c r="D30" s="28">
        <v>5593.0</v>
      </c>
    </row>
    <row r="31" ht="15.75" customHeight="1">
      <c r="A31" s="27" t="s">
        <v>140</v>
      </c>
      <c r="B31" s="29">
        <v>0.0</v>
      </c>
      <c r="C31" s="29">
        <v>0.0</v>
      </c>
      <c r="D31" s="28">
        <v>-9620.0</v>
      </c>
    </row>
    <row r="32" ht="15.75" customHeight="1">
      <c r="A32" s="27" t="s">
        <v>141</v>
      </c>
      <c r="B32" s="29">
        <v>0.0</v>
      </c>
      <c r="C32" s="29">
        <v>0.0</v>
      </c>
      <c r="D32" s="29">
        <v>0.0</v>
      </c>
    </row>
    <row r="33" ht="15.75" customHeight="1">
      <c r="A33" s="26" t="s">
        <v>85</v>
      </c>
      <c r="B33" s="12"/>
      <c r="C33" s="12"/>
      <c r="D33" s="13"/>
    </row>
    <row r="34" ht="15.75" customHeight="1">
      <c r="A34" s="27" t="s">
        <v>142</v>
      </c>
      <c r="B34" s="29">
        <v>0.0</v>
      </c>
      <c r="C34" s="29">
        <v>0.0</v>
      </c>
      <c r="D34" s="29">
        <v>0.0</v>
      </c>
    </row>
    <row r="35" ht="15.75" customHeight="1">
      <c r="A35" s="27" t="s">
        <v>143</v>
      </c>
      <c r="B35" s="29">
        <v>0.0</v>
      </c>
      <c r="C35" s="29">
        <v>0.0</v>
      </c>
      <c r="D35" s="29">
        <v>0.0</v>
      </c>
    </row>
    <row r="36" ht="15.75" customHeight="1">
      <c r="A36" s="27" t="s">
        <v>144</v>
      </c>
      <c r="B36" s="29">
        <v>0.0</v>
      </c>
      <c r="C36" s="29">
        <v>0.0</v>
      </c>
      <c r="D36" s="29">
        <v>0.0</v>
      </c>
    </row>
    <row r="37" ht="15.75" customHeight="1">
      <c r="A37" s="27" t="s">
        <v>145</v>
      </c>
      <c r="B37" s="29">
        <v>0.0</v>
      </c>
      <c r="C37" s="29">
        <v>0.0</v>
      </c>
      <c r="D37" s="29">
        <v>0.0</v>
      </c>
    </row>
    <row r="38" ht="15.75" customHeight="1">
      <c r="A38" s="27" t="s">
        <v>146</v>
      </c>
      <c r="B38" s="29">
        <v>0.0</v>
      </c>
      <c r="C38" s="29">
        <v>0.0</v>
      </c>
      <c r="D38" s="29">
        <v>0.0</v>
      </c>
    </row>
    <row r="39" ht="15.75" customHeight="1">
      <c r="A39" s="26" t="s">
        <v>147</v>
      </c>
      <c r="B39" s="12"/>
      <c r="C39" s="12"/>
      <c r="D39" s="13"/>
    </row>
    <row r="40" ht="15.75" customHeight="1">
      <c r="A40" s="27" t="s">
        <v>148</v>
      </c>
      <c r="B40" s="28">
        <v>-1161288.0</v>
      </c>
      <c r="C40" s="29">
        <v>0.0</v>
      </c>
      <c r="D40" s="29">
        <v>0.0</v>
      </c>
    </row>
    <row r="41" ht="15.75" customHeight="1">
      <c r="A41" s="27" t="s">
        <v>149</v>
      </c>
      <c r="B41" s="28">
        <v>-1170407.0</v>
      </c>
      <c r="C41" s="28">
        <v>-429536.0</v>
      </c>
      <c r="D41" s="28">
        <v>-181792.0</v>
      </c>
    </row>
    <row r="42" ht="15.75" customHeight="1">
      <c r="A42" s="27" t="s">
        <v>150</v>
      </c>
      <c r="B42" s="29">
        <v>0.0</v>
      </c>
      <c r="C42" s="29">
        <v>0.0</v>
      </c>
      <c r="D42" s="29">
        <v>0.0</v>
      </c>
    </row>
    <row r="43" ht="15.75" customHeight="1">
      <c r="A43" s="27" t="s">
        <v>151</v>
      </c>
      <c r="B43" s="28">
        <v>-8508.0</v>
      </c>
      <c r="C43" s="28">
        <v>2398.0</v>
      </c>
      <c r="D43" s="29">
        <v>0.0</v>
      </c>
    </row>
    <row r="44" ht="15.75" customHeight="1">
      <c r="A44" s="27" t="s">
        <v>152</v>
      </c>
      <c r="B44" s="29">
        <v>0.0</v>
      </c>
      <c r="C44" s="29">
        <v>0.0</v>
      </c>
      <c r="D44" s="29">
        <v>0.0</v>
      </c>
    </row>
    <row r="45" ht="15.75" customHeight="1">
      <c r="A45" s="26" t="s">
        <v>109</v>
      </c>
      <c r="B45" s="12"/>
      <c r="C45" s="12"/>
      <c r="D45" s="13"/>
    </row>
    <row r="46" ht="15.75" customHeight="1">
      <c r="A46" s="27" t="s">
        <v>110</v>
      </c>
      <c r="B46" s="28">
        <v>-60347.0</v>
      </c>
      <c r="C46" s="28">
        <v>-9906.0</v>
      </c>
      <c r="D46" s="28">
        <v>-589270.0</v>
      </c>
    </row>
    <row r="47" ht="15.75" customHeight="1">
      <c r="A47" s="27" t="s">
        <v>153</v>
      </c>
      <c r="B47" s="28">
        <v>1498.0</v>
      </c>
      <c r="C47" s="28">
        <v>-3943.0</v>
      </c>
      <c r="D47" s="28">
        <v>-3658.0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D5"/>
    <mergeCell ref="A10:D10"/>
    <mergeCell ref="A26:D26"/>
    <mergeCell ref="A33:D33"/>
    <mergeCell ref="A39:D39"/>
    <mergeCell ref="A45:D4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85.71"/>
    <col customWidth="1" min="2" max="4" width="18.71"/>
    <col customWidth="1" min="5" max="7" width="16.71"/>
    <col customWidth="1" min="8" max="12" width="8.71"/>
    <col customWidth="1" min="13" max="13" width="33.57"/>
    <col customWidth="1" min="14" max="26" width="8.71"/>
  </cols>
  <sheetData>
    <row r="1">
      <c r="A1" s="1" t="s">
        <v>154</v>
      </c>
    </row>
    <row r="3">
      <c r="A3" s="24" t="s">
        <v>155</v>
      </c>
    </row>
    <row r="4">
      <c r="B4" s="25">
        <v>2025.0</v>
      </c>
      <c r="C4" s="25">
        <v>2024.0</v>
      </c>
      <c r="D4" s="25">
        <v>2023.0</v>
      </c>
      <c r="E4" s="25" t="s">
        <v>156</v>
      </c>
      <c r="F4" s="25" t="s">
        <v>157</v>
      </c>
      <c r="G4" s="25" t="s">
        <v>158</v>
      </c>
    </row>
    <row r="5">
      <c r="A5" s="7" t="s">
        <v>159</v>
      </c>
      <c r="B5" s="30">
        <f>Reconcile_Inputs!B8 - Reconcile_Inputs!B9</f>
        <v>0</v>
      </c>
      <c r="C5" s="30">
        <f>Reconcile_Inputs!C8 - Reconcile_Inputs!C9</f>
        <v>0</v>
      </c>
      <c r="D5" s="30">
        <f>Reconcile_Inputs!D8 - Reconcile_Inputs!D9</f>
        <v>0</v>
      </c>
      <c r="E5" s="31" t="str">
        <f t="shared" ref="E5:G5" si="1">IF(ABS(B5)&lt;=0.5,"PASS","CHECK")</f>
        <v>PASS</v>
      </c>
      <c r="F5" s="31" t="str">
        <f t="shared" si="1"/>
        <v>PASS</v>
      </c>
      <c r="G5" s="31" t="str">
        <f t="shared" si="1"/>
        <v>PASS</v>
      </c>
    </row>
    <row r="6">
      <c r="A6" s="7" t="s">
        <v>160</v>
      </c>
      <c r="B6" s="30">
        <f>Reconcile_Inputs!B6 - Reconcile_Inputs!B7</f>
        <v>0</v>
      </c>
      <c r="C6" s="30">
        <f>Reconcile_Inputs!C6 - Reconcile_Inputs!C7</f>
        <v>0</v>
      </c>
      <c r="D6" s="30">
        <f>Reconcile_Inputs!D6 - Reconcile_Inputs!D7</f>
        <v>0</v>
      </c>
      <c r="E6" s="31" t="str">
        <f t="shared" ref="E6:G6" si="2">IF(ABS(B6)&lt;=0.5,"PASS","CHECK")</f>
        <v>PASS</v>
      </c>
      <c r="F6" s="31" t="str">
        <f t="shared" si="2"/>
        <v>PASS</v>
      </c>
      <c r="G6" s="31" t="str">
        <f t="shared" si="2"/>
        <v>PASS</v>
      </c>
    </row>
    <row r="7">
      <c r="A7" s="7" t="s">
        <v>161</v>
      </c>
      <c r="B7" s="30">
        <f>Reconcile_Inputs!B23 - (-((Reconcile_Inputs!B11 - Reconcile_Inputs!B12) + (Reconcile_Inputs!B17 - Reconcile_Inputs!B18) + (Reconcile_Inputs!B21 - Reconcile_Inputs!B22) - (Reconcile_Inputs!B13 - Reconcile_Inputs!B14) - (Reconcile_Inputs!B15 - Reconcile_Inputs!B16) - (Reconcile_Inputs!B19 - Reconcile_Inputs!B20)) - Reconcile_Inputs!B24 - Reconcile_Inputs!B25)</f>
        <v>-66369</v>
      </c>
      <c r="C7" s="30">
        <f>Reconcile_Inputs!C23 - (-((Reconcile_Inputs!C11 - Reconcile_Inputs!C12) + (Reconcile_Inputs!C17 - Reconcile_Inputs!C18) + (Reconcile_Inputs!C21 - Reconcile_Inputs!C22) - (Reconcile_Inputs!C13 - Reconcile_Inputs!C14) - (Reconcile_Inputs!C15 - Reconcile_Inputs!C16) - (Reconcile_Inputs!C19 - Reconcile_Inputs!C20)) - Reconcile_Inputs!C24 - Reconcile_Inputs!C25)</f>
        <v>-210444</v>
      </c>
      <c r="D7" s="30">
        <f>Reconcile_Inputs!D23 - (-((Reconcile_Inputs!D11 - Reconcile_Inputs!D12) + (Reconcile_Inputs!D17 - Reconcile_Inputs!D18) + (Reconcile_Inputs!D21 - Reconcile_Inputs!D22) - (Reconcile_Inputs!D13 - Reconcile_Inputs!D14) - (Reconcile_Inputs!D15 - Reconcile_Inputs!D16) - (Reconcile_Inputs!D19 - Reconcile_Inputs!D20)) - Reconcile_Inputs!D24 - Reconcile_Inputs!D25)</f>
        <v>-43518</v>
      </c>
      <c r="E7" s="32" t="str">
        <f t="shared" ref="E7:G7" si="3">IF(ABS(B7)&lt;=0.5,"PASS","CHECK")</f>
        <v>CHECK</v>
      </c>
      <c r="F7" s="32" t="str">
        <f t="shared" si="3"/>
        <v>CHECK</v>
      </c>
      <c r="G7" s="32" t="str">
        <f t="shared" si="3"/>
        <v>CHECK</v>
      </c>
      <c r="M7" s="33" t="s">
        <v>162</v>
      </c>
    </row>
    <row r="8">
      <c r="A8" s="7" t="s">
        <v>163</v>
      </c>
      <c r="B8" s="30">
        <f>(Reconcile_Inputs!B27 + ( -1 * Reconcile_Inputs!B29 )  - Reconcile_Inputs!B30 + Reconcile_Inputs!B31 + Reconcile_Inputs!B32) - Reconcile_Inputs!B28</f>
        <v>-8280</v>
      </c>
      <c r="C8" s="30">
        <f>(Reconcile_Inputs!C27 + ( -1 * Reconcile_Inputs!C29 )  - Reconcile_Inputs!C30 + Reconcile_Inputs!C31 + Reconcile_Inputs!C32) - Reconcile_Inputs!C28</f>
        <v>-7893</v>
      </c>
      <c r="D8" s="30">
        <f>(Reconcile_Inputs!D27 + ( -1 * Reconcile_Inputs!D29 )  - Reconcile_Inputs!D30 + Reconcile_Inputs!D31 + Reconcile_Inputs!D32) - Reconcile_Inputs!D28</f>
        <v>-9143</v>
      </c>
      <c r="E8" s="32" t="str">
        <f t="shared" ref="E8:G8" si="4">IF(ABS(B8)&lt;=0.5,"PASS","CHECK")</f>
        <v>CHECK</v>
      </c>
      <c r="F8" s="32" t="str">
        <f t="shared" si="4"/>
        <v>CHECK</v>
      </c>
      <c r="G8" s="32" t="str">
        <f t="shared" si="4"/>
        <v>CHECK</v>
      </c>
    </row>
    <row r="9">
      <c r="A9" s="7" t="s">
        <v>164</v>
      </c>
      <c r="B9" s="30">
        <f>(Reconcile_Inputs!B34 + Reconcile_Inputs!B36 - Reconcile_Inputs!B37 + Reconcile_Inputs!B38) - Reconcile_Inputs!B35</f>
        <v>0</v>
      </c>
      <c r="C9" s="30">
        <f>(Reconcile_Inputs!C34 + Reconcile_Inputs!C36 - Reconcile_Inputs!C37 + Reconcile_Inputs!C38) - Reconcile_Inputs!C35</f>
        <v>0</v>
      </c>
      <c r="D9" s="30">
        <f>(Reconcile_Inputs!D34 + Reconcile_Inputs!D36 - Reconcile_Inputs!D37 + Reconcile_Inputs!D38) - Reconcile_Inputs!D35</f>
        <v>0</v>
      </c>
      <c r="E9" s="31" t="str">
        <f t="shared" ref="E9:G9" si="5">IF(ABS(B9)&lt;=0.5,"PASS","CHECK")</f>
        <v>PASS</v>
      </c>
      <c r="F9" s="31" t="str">
        <f t="shared" si="5"/>
        <v>PASS</v>
      </c>
      <c r="G9" s="31" t="str">
        <f t="shared" si="5"/>
        <v>PASS</v>
      </c>
      <c r="M9" s="34"/>
    </row>
    <row r="10">
      <c r="A10" s="7" t="s">
        <v>165</v>
      </c>
      <c r="B10" s="30">
        <f>(Reconcile_Inputs!B40 + Reconcile_Inputs!B6 - Reconcile_Inputs!B42 + Reconcile_Inputs!B44) - Reconcile_Inputs!B41</f>
        <v>0</v>
      </c>
      <c r="C10" s="30">
        <f t="shared" ref="C10:D10" si="6">(C40 + C6 - C42 + C44) - C41</f>
        <v>0</v>
      </c>
      <c r="D10" s="30">
        <f t="shared" si="6"/>
        <v>0</v>
      </c>
      <c r="E10" s="31" t="str">
        <f t="shared" ref="E10:G10" si="7">IF(ABS(B10)&lt;=0.5,"PASS","CHECK")</f>
        <v>PASS</v>
      </c>
      <c r="F10" s="31" t="str">
        <f t="shared" si="7"/>
        <v>PASS</v>
      </c>
      <c r="G10" s="31" t="str">
        <f t="shared" si="7"/>
        <v>PASS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10.71"/>
    <col customWidth="1" min="3" max="3" width="40.71"/>
    <col customWidth="1" min="4" max="4" width="34.57"/>
    <col customWidth="1" min="5" max="5" width="40.71"/>
    <col customWidth="1" min="6" max="6" width="10.71"/>
    <col customWidth="1" min="7" max="26" width="8.71"/>
  </cols>
  <sheetData>
    <row r="1">
      <c r="A1" s="24" t="s">
        <v>166</v>
      </c>
      <c r="B1" s="24" t="s">
        <v>167</v>
      </c>
      <c r="C1" s="24" t="s">
        <v>168</v>
      </c>
      <c r="D1" s="24" t="s">
        <v>169</v>
      </c>
      <c r="E1" s="24" t="s">
        <v>170</v>
      </c>
      <c r="F1" s="24" t="s">
        <v>171</v>
      </c>
    </row>
    <row r="2">
      <c r="A2" s="35" t="s">
        <v>118</v>
      </c>
      <c r="B2" s="35" t="s">
        <v>172</v>
      </c>
      <c r="C2" s="36" t="s">
        <v>173</v>
      </c>
      <c r="D2" s="35" t="s">
        <v>174</v>
      </c>
      <c r="E2" s="36" t="s">
        <v>175</v>
      </c>
      <c r="F2" s="35" t="s">
        <v>176</v>
      </c>
    </row>
    <row r="3">
      <c r="A3" s="35" t="s">
        <v>118</v>
      </c>
      <c r="B3" s="35" t="s">
        <v>172</v>
      </c>
      <c r="C3" s="36" t="s">
        <v>177</v>
      </c>
      <c r="D3" s="35" t="s">
        <v>174</v>
      </c>
      <c r="E3" s="36" t="s">
        <v>178</v>
      </c>
      <c r="F3" s="35" t="s">
        <v>176</v>
      </c>
    </row>
    <row r="4">
      <c r="A4" s="35" t="s">
        <v>118</v>
      </c>
      <c r="B4" s="35" t="s">
        <v>172</v>
      </c>
      <c r="C4" s="36" t="s">
        <v>179</v>
      </c>
      <c r="D4" s="35" t="s">
        <v>180</v>
      </c>
      <c r="E4" s="36" t="s">
        <v>181</v>
      </c>
      <c r="F4" s="35" t="s">
        <v>176</v>
      </c>
    </row>
    <row r="5">
      <c r="A5" s="35" t="s">
        <v>121</v>
      </c>
      <c r="B5" s="35" t="s">
        <v>172</v>
      </c>
      <c r="C5" s="35" t="s">
        <v>182</v>
      </c>
      <c r="D5" s="35" t="s">
        <v>183</v>
      </c>
      <c r="E5" s="36" t="s">
        <v>162</v>
      </c>
      <c r="F5" s="35" t="s">
        <v>184</v>
      </c>
    </row>
    <row r="6">
      <c r="A6" s="35" t="s">
        <v>121</v>
      </c>
      <c r="B6" s="35">
        <v>2025.0</v>
      </c>
      <c r="C6" s="35" t="s">
        <v>185</v>
      </c>
      <c r="D6" s="35" t="s">
        <v>180</v>
      </c>
      <c r="E6" s="35" t="s">
        <v>186</v>
      </c>
      <c r="F6" s="35" t="s">
        <v>176</v>
      </c>
    </row>
    <row r="7">
      <c r="A7" s="35" t="s">
        <v>121</v>
      </c>
      <c r="B7" s="35" t="s">
        <v>172</v>
      </c>
      <c r="C7" s="36" t="s">
        <v>187</v>
      </c>
      <c r="D7" s="35" t="s">
        <v>188</v>
      </c>
      <c r="E7" s="35" t="s">
        <v>189</v>
      </c>
      <c r="F7" s="35" t="s">
        <v>176</v>
      </c>
    </row>
    <row r="8">
      <c r="A8" s="35" t="s">
        <v>121</v>
      </c>
      <c r="B8" s="35" t="s">
        <v>172</v>
      </c>
      <c r="C8" s="36" t="s">
        <v>190</v>
      </c>
      <c r="D8" s="35" t="s">
        <v>188</v>
      </c>
      <c r="E8" s="35" t="s">
        <v>191</v>
      </c>
      <c r="F8" s="35" t="s">
        <v>176</v>
      </c>
    </row>
    <row r="9">
      <c r="A9" s="35" t="s">
        <v>69</v>
      </c>
      <c r="B9" s="35" t="s">
        <v>172</v>
      </c>
      <c r="C9" s="36" t="s">
        <v>182</v>
      </c>
      <c r="D9" s="35" t="s">
        <v>183</v>
      </c>
      <c r="E9" s="36" t="s">
        <v>162</v>
      </c>
      <c r="F9" s="35" t="s">
        <v>184</v>
      </c>
    </row>
    <row r="10">
      <c r="A10" s="35" t="s">
        <v>69</v>
      </c>
      <c r="B10" s="35" t="s">
        <v>172</v>
      </c>
      <c r="C10" s="36" t="s">
        <v>192</v>
      </c>
      <c r="D10" s="35" t="s">
        <v>188</v>
      </c>
      <c r="E10" s="35" t="s">
        <v>193</v>
      </c>
      <c r="F10" s="35" t="s">
        <v>176</v>
      </c>
    </row>
    <row r="11">
      <c r="A11" s="35" t="s">
        <v>194</v>
      </c>
      <c r="B11" s="35" t="s">
        <v>172</v>
      </c>
      <c r="C11" s="36" t="s">
        <v>195</v>
      </c>
      <c r="D11" s="35" t="s">
        <v>188</v>
      </c>
      <c r="E11" s="35" t="s">
        <v>196</v>
      </c>
      <c r="F11" s="35" t="s">
        <v>176</v>
      </c>
    </row>
    <row r="12">
      <c r="A12" s="35" t="s">
        <v>194</v>
      </c>
      <c r="B12" s="35"/>
      <c r="C12" s="37" t="s">
        <v>197</v>
      </c>
      <c r="D12" s="35" t="s">
        <v>174</v>
      </c>
      <c r="E12" s="36" t="s">
        <v>198</v>
      </c>
      <c r="F12" s="35" t="s">
        <v>176</v>
      </c>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c r="A21" s="3"/>
      <c r="B21" s="3"/>
      <c r="C21" s="3"/>
      <c r="D21" s="3"/>
      <c r="E21" s="3"/>
      <c r="F21" s="3"/>
    </row>
    <row r="22">
      <c r="A22" s="3"/>
      <c r="B22" s="3"/>
      <c r="C22" s="3"/>
      <c r="D22" s="3"/>
      <c r="E22" s="3"/>
      <c r="F22" s="3"/>
    </row>
    <row r="23">
      <c r="A23" s="3"/>
      <c r="B23" s="3"/>
      <c r="C23" s="3"/>
      <c r="D23" s="3"/>
      <c r="E23" s="3"/>
      <c r="F23" s="3"/>
    </row>
    <row r="24">
      <c r="A24" s="3"/>
      <c r="B24" s="3"/>
      <c r="C24" s="3"/>
      <c r="D24" s="3"/>
      <c r="E24" s="3"/>
      <c r="F24" s="3"/>
    </row>
    <row r="25">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ataValidations>
    <dataValidation type="list" allowBlank="1" showErrorMessage="1" sqref="D2:D206">
      <formula1>CauseList</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6" width="8.71"/>
  </cols>
  <sheetData>
    <row r="1">
      <c r="A1" s="9" t="s">
        <v>199</v>
      </c>
    </row>
    <row r="2">
      <c r="A2" s="9" t="s">
        <v>200</v>
      </c>
    </row>
    <row r="3">
      <c r="A3" s="9" t="s">
        <v>201</v>
      </c>
    </row>
    <row r="4">
      <c r="A4" s="9" t="s">
        <v>202</v>
      </c>
    </row>
    <row r="5">
      <c r="A5" s="9" t="s">
        <v>174</v>
      </c>
    </row>
    <row r="6">
      <c r="A6" s="9" t="s">
        <v>203</v>
      </c>
    </row>
    <row r="7">
      <c r="A7" s="9" t="s">
        <v>204</v>
      </c>
    </row>
    <row r="8">
      <c r="A8" s="9" t="s">
        <v>183</v>
      </c>
    </row>
    <row r="9">
      <c r="A9" s="9" t="s">
        <v>188</v>
      </c>
    </row>
    <row r="10">
      <c r="A10" s="9" t="s">
        <v>180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2025-08-14T12:13:59Z</dcterms:created>
</cp:coreProperties>
</file>